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  <sheet name="CMV do mês" sheetId="2" state="visible" r:id="rId2"/>
    <sheet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2E5F73"/>
      <sz val="16"/>
    </font>
    <font>
      <name val="Arial"/>
      <i val="1"/>
      <color rgb="006A7A7E"/>
    </font>
    <font>
      <name val="Arial"/>
      <b val="1"/>
    </font>
    <font>
      <name val="Arial"/>
      <b val="1"/>
      <color rgb="00FFFFFF"/>
    </font>
    <font>
      <name val="Arial"/>
      <i val="1"/>
      <color rgb="0045585D"/>
    </font>
    <font>
      <name val="Arial"/>
      <b val="1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FFF4DC"/>
      </patternFill>
    </fill>
    <fill>
      <patternFill patternType="solid">
        <fgColor rgb="002E5F73"/>
      </patternFill>
    </fill>
    <fill>
      <patternFill patternType="solid">
        <fgColor rgb="00F7F5EA"/>
      </patternFill>
    </fill>
    <fill>
      <patternFill patternType="solid">
        <fgColor rgb="00EFAB5C"/>
      </patternFill>
    </fill>
  </fills>
  <borders count="2">
    <border>
      <left/>
      <right/>
      <top/>
      <bottom/>
      <diagonal/>
    </border>
    <border>
      <left style="thin">
        <color rgb="00E1DFCE"/>
      </left>
      <right style="thin">
        <color rgb="00E1DFCE"/>
      </right>
      <top style="thin">
        <color rgb="00E1DFCE"/>
      </top>
      <bottom style="thin">
        <color rgb="00E1DFC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0" fontId="4" fillId="3" borderId="1" applyAlignment="1" pivotButton="0" quotePrefix="0" xfId="0">
      <alignment vertical="center" wrapText="1"/>
    </xf>
    <xf numFmtId="164" fontId="0" fillId="0" borderId="1" pivotButton="0" quotePrefix="0" xfId="0"/>
    <xf numFmtId="0" fontId="3" fillId="0" borderId="0" applyAlignment="1" pivotButton="0" quotePrefix="0" xfId="0">
      <alignment horizontal="right"/>
    </xf>
    <xf numFmtId="164" fontId="3" fillId="4" borderId="1" pivotButton="0" quotePrefix="0" xfId="0"/>
    <xf numFmtId="165" fontId="3" fillId="5" borderId="1" pivotButton="0" quotePrefix="0" xfId="0"/>
    <xf numFmtId="164" fontId="3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8" customWidth="1" min="4" max="4"/>
    <col width="18" customWidth="1" min="5" max="5"/>
    <col width="30" customWidth="1" min="6" max="6"/>
    <col width="20" customWidth="1" min="7" max="7"/>
  </cols>
  <sheetData>
    <row r="1">
      <c r="A1" s="1" t="inlineStr">
        <is>
          <t>Ficha técnica do prato</t>
        </is>
      </c>
    </row>
    <row r="2">
      <c r="A2" s="2" t="inlineStr">
        <is>
          <t>Preencha só as células amarelas. Exemplo: pizza grande de calabresa (valores ilustrativos: troque pelos seus).</t>
        </is>
      </c>
    </row>
    <row r="4">
      <c r="A4" s="3" t="inlineStr">
        <is>
          <t>Prato</t>
        </is>
      </c>
      <c r="B4" s="4" t="inlineStr">
        <is>
          <t>Pizza grande (8 fatias) de calabresa</t>
        </is>
      </c>
    </row>
    <row r="5">
      <c r="A5" s="3" t="inlineStr">
        <is>
          <t>Preço de venda (R$)</t>
        </is>
      </c>
      <c r="B5" s="5" t="n">
        <v>59.9</v>
      </c>
    </row>
    <row r="6">
      <c r="A6" s="3" t="inlineStr">
        <is>
          <t>CMV que você quer atingir (%)</t>
        </is>
      </c>
      <c r="B6" s="6" t="n">
        <v>0.3</v>
      </c>
    </row>
    <row r="7">
      <c r="A7" s="3" t="inlineStr">
        <is>
          <t>Embalagem e descartáveis (R$)</t>
        </is>
      </c>
      <c r="B7" s="5" t="n">
        <v>2.5</v>
      </c>
    </row>
    <row r="9" ht="34" customHeight="1">
      <c r="A9" s="7" t="inlineStr">
        <is>
          <t>Ingrediente</t>
        </is>
      </c>
      <c r="B9" s="7" t="inlineStr">
        <is>
          <t>Quantidade usada no prato</t>
        </is>
      </c>
      <c r="C9" s="7" t="inlineStr">
        <is>
          <t>Unidade</t>
        </is>
      </c>
      <c r="D9" s="7" t="inlineStr">
        <is>
          <t>Preço de compra (R$)</t>
        </is>
      </c>
      <c r="E9" s="7" t="inlineStr">
        <is>
          <t>Quantidade comprada</t>
        </is>
      </c>
      <c r="F9" s="7" t="inlineStr">
        <is>
          <t>Perda / aparas (%)</t>
        </is>
      </c>
      <c r="G9" s="7" t="inlineStr">
        <is>
          <t>Custo no prato (R$)</t>
        </is>
      </c>
    </row>
    <row r="10">
      <c r="A10" s="4" t="inlineStr">
        <is>
          <t>Massa (farinha, fermento, óleo)</t>
        </is>
      </c>
      <c r="B10" s="4" t="n">
        <v>1</v>
      </c>
      <c r="C10" s="4" t="inlineStr">
        <is>
          <t>un</t>
        </is>
      </c>
      <c r="D10" s="5" t="n">
        <v>3.2</v>
      </c>
      <c r="E10" s="4" t="n">
        <v>1</v>
      </c>
      <c r="F10" s="6" t="n">
        <v>0</v>
      </c>
      <c r="G10" s="8">
        <f>IF(OR(B10="",D10="",E10=""),0,(B10*D10/E10)/(1-MIN(0.95,N(F10))))</f>
        <v/>
      </c>
    </row>
    <row r="11">
      <c r="A11" s="4" t="inlineStr">
        <is>
          <t>Molho de tomate</t>
        </is>
      </c>
      <c r="B11" s="4" t="n">
        <v>1</v>
      </c>
      <c r="C11" s="4" t="inlineStr">
        <is>
          <t>un</t>
        </is>
      </c>
      <c r="D11" s="5" t="n">
        <v>1.6</v>
      </c>
      <c r="E11" s="4" t="n">
        <v>1</v>
      </c>
      <c r="F11" s="6" t="n">
        <v>0</v>
      </c>
      <c r="G11" s="8">
        <f>IF(OR(B11="",D11="",E11=""),0,(B11*D11/E11)/(1-MIN(0.95,N(F11))))</f>
        <v/>
      </c>
    </row>
    <row r="12">
      <c r="A12" s="4" t="inlineStr">
        <is>
          <t>Mussarela</t>
        </is>
      </c>
      <c r="B12" s="4" t="n">
        <v>300</v>
      </c>
      <c r="C12" s="4" t="inlineStr">
        <is>
          <t>g</t>
        </is>
      </c>
      <c r="D12" s="5" t="n">
        <v>38</v>
      </c>
      <c r="E12" s="4" t="n">
        <v>1000</v>
      </c>
      <c r="F12" s="6" t="n">
        <v>0.03</v>
      </c>
      <c r="G12" s="8">
        <f>IF(OR(B12="",D12="",E12=""),0,(B12*D12/E12)/(1-MIN(0.95,N(F12))))</f>
        <v/>
      </c>
    </row>
    <row r="13">
      <c r="A13" s="4" t="inlineStr">
        <is>
          <t>Calabresa</t>
        </is>
      </c>
      <c r="B13" s="4" t="n">
        <v>80</v>
      </c>
      <c r="C13" s="4" t="inlineStr">
        <is>
          <t>g</t>
        </is>
      </c>
      <c r="D13" s="5" t="n">
        <v>35</v>
      </c>
      <c r="E13" s="4" t="n">
        <v>1000</v>
      </c>
      <c r="F13" s="6" t="n">
        <v>0.05</v>
      </c>
      <c r="G13" s="8">
        <f>IF(OR(B13="",D13="",E13=""),0,(B13*D13/E13)/(1-MIN(0.95,N(F13))))</f>
        <v/>
      </c>
    </row>
    <row r="14">
      <c r="A14" s="4" t="inlineStr">
        <is>
          <t>Cebola, azeitona e orégano</t>
        </is>
      </c>
      <c r="B14" s="4" t="n">
        <v>1</v>
      </c>
      <c r="C14" s="4" t="inlineStr">
        <is>
          <t>un</t>
        </is>
      </c>
      <c r="D14" s="5" t="n">
        <v>1.2</v>
      </c>
      <c r="E14" s="4" t="n">
        <v>1</v>
      </c>
      <c r="F14" s="6" t="n">
        <v>0.1</v>
      </c>
      <c r="G14" s="8">
        <f>IF(OR(B14="",D14="",E14=""),0,(B14*D14/E14)/(1-MIN(0.95,N(F14))))</f>
        <v/>
      </c>
    </row>
    <row r="15">
      <c r="A15" s="4" t="n"/>
      <c r="B15" s="4" t="n"/>
      <c r="C15" s="4" t="n"/>
      <c r="D15" s="5" t="n"/>
      <c r="E15" s="4" t="n"/>
      <c r="F15" s="6" t="n"/>
      <c r="G15" s="8">
        <f>IF(OR(B15="",D15="",E15=""),0,(B15*D15/E15)/(1-MIN(0.95,N(F15))))</f>
        <v/>
      </c>
    </row>
    <row r="16">
      <c r="A16" s="4" t="n"/>
      <c r="B16" s="4" t="n"/>
      <c r="C16" s="4" t="n"/>
      <c r="D16" s="5" t="n"/>
      <c r="E16" s="4" t="n"/>
      <c r="F16" s="6" t="n"/>
      <c r="G16" s="8">
        <f>IF(OR(B16="",D16="",E16=""),0,(B16*D16/E16)/(1-MIN(0.95,N(F16))))</f>
        <v/>
      </c>
    </row>
    <row r="17">
      <c r="A17" s="4" t="n"/>
      <c r="B17" s="4" t="n"/>
      <c r="C17" s="4" t="n"/>
      <c r="D17" s="5" t="n"/>
      <c r="E17" s="4" t="n"/>
      <c r="F17" s="6" t="n"/>
      <c r="G17" s="8">
        <f>IF(OR(B17="",D17="",E17=""),0,(B17*D17/E17)/(1-MIN(0.95,N(F17))))</f>
        <v/>
      </c>
    </row>
    <row r="18">
      <c r="A18" s="4" t="n"/>
      <c r="B18" s="4" t="n"/>
      <c r="C18" s="4" t="n"/>
      <c r="D18" s="5" t="n"/>
      <c r="E18" s="4" t="n"/>
      <c r="F18" s="6" t="n"/>
      <c r="G18" s="8">
        <f>IF(OR(B18="",D18="",E18=""),0,(B18*D18/E18)/(1-MIN(0.95,N(F18))))</f>
        <v/>
      </c>
    </row>
    <row r="19">
      <c r="A19" s="4" t="n"/>
      <c r="B19" s="4" t="n"/>
      <c r="C19" s="4" t="n"/>
      <c r="D19" s="5" t="n"/>
      <c r="E19" s="4" t="n"/>
      <c r="F19" s="6" t="n"/>
      <c r="G19" s="8">
        <f>IF(OR(B19="",D19="",E19=""),0,(B19*D19/E19)/(1-MIN(0.95,N(F19))))</f>
        <v/>
      </c>
    </row>
    <row r="20">
      <c r="A20" s="4" t="n"/>
      <c r="B20" s="4" t="n"/>
      <c r="C20" s="4" t="n"/>
      <c r="D20" s="5" t="n"/>
      <c r="E20" s="4" t="n"/>
      <c r="F20" s="6" t="n"/>
      <c r="G20" s="8">
        <f>IF(OR(B20="",D20="",E20=""),0,(B20*D20/E20)/(1-MIN(0.95,N(F20))))</f>
        <v/>
      </c>
    </row>
    <row r="21">
      <c r="A21" s="4" t="n"/>
      <c r="B21" s="4" t="n"/>
      <c r="C21" s="4" t="n"/>
      <c r="D21" s="5" t="n"/>
      <c r="E21" s="4" t="n"/>
      <c r="F21" s="6" t="n"/>
      <c r="G21" s="8">
        <f>IF(OR(B21="",D21="",E21=""),0,(B21*D21/E21)/(1-MIN(0.95,N(F21))))</f>
        <v/>
      </c>
    </row>
    <row r="22">
      <c r="A22" s="4" t="n"/>
      <c r="B22" s="4" t="n"/>
      <c r="C22" s="4" t="n"/>
      <c r="D22" s="5" t="n"/>
      <c r="E22" s="4" t="n"/>
      <c r="F22" s="6" t="n"/>
      <c r="G22" s="8">
        <f>IF(OR(B22="",D22="",E22=""),0,(B22*D22/E22)/(1-MIN(0.95,N(F22))))</f>
        <v/>
      </c>
    </row>
    <row r="23">
      <c r="A23" s="4" t="n"/>
      <c r="B23" s="4" t="n"/>
      <c r="C23" s="4" t="n"/>
      <c r="D23" s="5" t="n"/>
      <c r="E23" s="4" t="n"/>
      <c r="F23" s="6" t="n"/>
      <c r="G23" s="8">
        <f>IF(OR(B23="",D23="",E23=""),0,(B23*D23/E23)/(1-MIN(0.95,N(F23))))</f>
        <v/>
      </c>
    </row>
    <row r="24">
      <c r="A24" s="4" t="n"/>
      <c r="B24" s="4" t="n"/>
      <c r="C24" s="4" t="n"/>
      <c r="D24" s="5" t="n"/>
      <c r="E24" s="4" t="n"/>
      <c r="F24" s="6" t="n"/>
      <c r="G24" s="8">
        <f>IF(OR(B24="",D24="",E24=""),0,(B24*D24/E24)/(1-MIN(0.95,N(F24))))</f>
        <v/>
      </c>
    </row>
    <row r="26">
      <c r="F26" s="9" t="inlineStr">
        <is>
          <t>Custo dos ingredientes</t>
        </is>
      </c>
      <c r="G26" s="10">
        <f>SUM(G10:G24)</f>
        <v/>
      </c>
    </row>
    <row r="27">
      <c r="F27" s="9" t="inlineStr">
        <is>
          <t>Custo total do prato</t>
        </is>
      </c>
      <c r="G27" s="10">
        <f>G26+B7</f>
        <v/>
      </c>
    </row>
    <row r="28">
      <c r="F28" s="9" t="inlineStr">
        <is>
          <t>CMV do prato</t>
        </is>
      </c>
      <c r="G28" s="11">
        <f>IF(B5&gt;0,G27/B5,0)</f>
        <v/>
      </c>
    </row>
    <row r="29">
      <c r="F29" s="9" t="inlineStr">
        <is>
          <t>Preço sugerido para o CMV alvo</t>
        </is>
      </c>
      <c r="G29" s="12">
        <f>IF(B6&gt;0,G27/B6,0)</f>
        <v/>
      </c>
    </row>
    <row r="30">
      <c r="F30" s="9" t="inlineStr">
        <is>
          <t>Sobra por prato (no preço atual)</t>
        </is>
      </c>
      <c r="G30" s="10">
        <f>B5-G27</f>
        <v/>
      </c>
    </row>
    <row r="32">
      <c r="A32" s="13" t="inlineStr">
        <is>
          <t>Como ler: o custo no prato = (quantidade usada × preço ÷ quantidade comprada) ÷ (1 − perda). Perda é o que sobra no lixo (aparas, osso, pele, queima).</t>
        </is>
      </c>
    </row>
    <row r="33">
      <c r="A33" s="13" t="inlineStr">
        <is>
          <t>O CMV que você quer atingir é uma meta sua. Muita gente usa de 28% a 35% como referência, mas varia por cozinha, preço e perda.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CMV do mês</t>
        </is>
      </c>
    </row>
    <row r="2">
      <c r="A2" s="2" t="inlineStr">
        <is>
          <t>CMV = estoque inicial + compras − estoque final. Valores abaixo são ilustrativos.</t>
        </is>
      </c>
    </row>
    <row r="4">
      <c r="A4" s="3" t="inlineStr">
        <is>
          <t>Estoque inicial do mês (R$)</t>
        </is>
      </c>
      <c r="B4" s="5" t="n">
        <v>8000</v>
      </c>
    </row>
    <row r="5">
      <c r="A5" s="3" t="inlineStr">
        <is>
          <t>Compras do mês (R$)</t>
        </is>
      </c>
      <c r="B5" s="5" t="n">
        <v>15500</v>
      </c>
    </row>
    <row r="6">
      <c r="A6" s="3" t="inlineStr">
        <is>
          <t>Estoque final do mês (R$)</t>
        </is>
      </c>
      <c r="B6" s="5" t="n">
        <v>7500</v>
      </c>
    </row>
    <row r="7">
      <c r="A7" s="3" t="inlineStr">
        <is>
          <t>Faturamento do mês (R$)</t>
        </is>
      </c>
      <c r="B7" s="5" t="n">
        <v>50000</v>
      </c>
    </row>
    <row r="9">
      <c r="A9" s="3" t="inlineStr">
        <is>
          <t>CMV do mês (R$)</t>
        </is>
      </c>
      <c r="B9" s="12">
        <f>B4+B5-B6</f>
        <v/>
      </c>
    </row>
    <row r="10">
      <c r="A10" s="3" t="inlineStr">
        <is>
          <t>CMV do mês (%)</t>
        </is>
      </c>
      <c r="B10" s="11">
        <f>IF(B7&gt;0,B9/B7,0)</f>
        <v/>
      </c>
    </row>
    <row r="11">
      <c r="A11" s="3" t="inlineStr">
        <is>
          <t>Sobra depois do CMV (R$)</t>
        </is>
      </c>
      <c r="B11" s="12">
        <f>B7-B9</f>
        <v/>
      </c>
    </row>
    <row r="13">
      <c r="A13" s="13" t="inlineStr">
        <is>
          <t>Dica: conte o estoque no último dia do mês, sempre no mesmo horário. O estoque final de um mês é o inicial do próximo.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Planilha de CMV e ficha técnica — Tá no Caixa (tanocaixa.com)</t>
        </is>
      </c>
    </row>
    <row r="2">
      <c r="A2" s="15" t="inlineStr"/>
    </row>
    <row r="3">
      <c r="A3" s="15" t="inlineStr">
        <is>
          <t>1) Aba "Ficha técnica": uma por prato. Duplique a aba para cada prato do cardápio.</t>
        </is>
      </c>
    </row>
    <row r="4">
      <c r="A4" s="15" t="inlineStr">
        <is>
          <t>2) Aba "CMV do mês": preencha no fechamento do mês.</t>
        </is>
      </c>
    </row>
    <row r="5">
      <c r="A5" s="15" t="inlineStr">
        <is>
          <t>3) Células amarelas são para preencher; as laranjas são o resultado.</t>
        </is>
      </c>
    </row>
    <row r="6">
      <c r="A6" s="15" t="inlineStr"/>
    </row>
    <row r="7">
      <c r="A7" s="15" t="inlineStr">
        <is>
          <t>Os números preenchidos são só exemplos. Nada aqui é recomendação contábil: fale com o seu contador sobre custos e impostos.</t>
        </is>
      </c>
    </row>
    <row r="8">
      <c r="A8" s="15" t="inlineStr">
        <is>
          <t>Quer ver quanto sobrou no mês sem planilha? Teste 14 dias grátis, sem cartão: https://tanocaixa.com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2026-10-22T02:40:31Z</dcterms:created>
  <dcterms:modified xsi:type="dcterms:W3CDTF">2026-10-22T02:40:31Z</dcterms:modified>
</cp:coreProperties>
</file>